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8f3e770e47b103f5/"/>
    </mc:Choice>
  </mc:AlternateContent>
  <xr:revisionPtr revIDLastSave="0" documentId="8_{F4F46987-E60E-42BB-8EA3-08150F5015E1}" xr6:coauthVersionLast="47" xr6:coauthVersionMax="47" xr10:uidLastSave="{00000000-0000-0000-0000-000000000000}"/>
  <bookViews>
    <workbookView xWindow="-110" yWindow="-110" windowWidth="19420" windowHeight="10300" xr2:uid="{B52731EE-C004-496D-A0D1-ABC77541FD05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1" l="1"/>
  <c r="J63" i="1"/>
  <c r="I63" i="1"/>
  <c r="H63" i="1"/>
  <c r="G63" i="1"/>
  <c r="K62" i="1"/>
  <c r="J62" i="1"/>
  <c r="I62" i="1"/>
  <c r="H62" i="1"/>
  <c r="G62" i="1"/>
  <c r="K61" i="1"/>
  <c r="J61" i="1"/>
  <c r="I61" i="1"/>
  <c r="H61" i="1"/>
  <c r="G61" i="1"/>
  <c r="K60" i="1"/>
  <c r="J60" i="1"/>
  <c r="I60" i="1"/>
  <c r="H60" i="1"/>
  <c r="G60" i="1"/>
  <c r="K59" i="1"/>
  <c r="J59" i="1"/>
  <c r="I59" i="1"/>
  <c r="H59" i="1"/>
  <c r="G59" i="1"/>
  <c r="K58" i="1"/>
  <c r="J58" i="1"/>
  <c r="I58" i="1"/>
  <c r="H58" i="1"/>
  <c r="G58" i="1"/>
  <c r="K57" i="1"/>
  <c r="J57" i="1"/>
  <c r="I57" i="1"/>
  <c r="H57" i="1"/>
  <c r="G57" i="1"/>
  <c r="K56" i="1"/>
  <c r="J56" i="1"/>
  <c r="I56" i="1"/>
  <c r="H56" i="1"/>
  <c r="G56" i="1"/>
  <c r="K55" i="1"/>
  <c r="J55" i="1"/>
  <c r="I55" i="1"/>
  <c r="H55" i="1"/>
  <c r="G55" i="1"/>
  <c r="K54" i="1"/>
  <c r="J54" i="1"/>
  <c r="I54" i="1"/>
  <c r="H54" i="1"/>
  <c r="G54" i="1"/>
  <c r="K53" i="1"/>
  <c r="J53" i="1"/>
  <c r="I53" i="1"/>
  <c r="H53" i="1"/>
  <c r="G53" i="1"/>
  <c r="K52" i="1"/>
  <c r="J52" i="1"/>
  <c r="I52" i="1"/>
  <c r="H52" i="1"/>
  <c r="G52" i="1"/>
  <c r="K51" i="1"/>
  <c r="J51" i="1"/>
  <c r="I51" i="1"/>
  <c r="H51" i="1"/>
  <c r="G51" i="1"/>
  <c r="K50" i="1"/>
  <c r="J50" i="1"/>
  <c r="I50" i="1"/>
  <c r="H50" i="1"/>
  <c r="G50" i="1"/>
  <c r="K49" i="1"/>
  <c r="J49" i="1"/>
  <c r="I49" i="1"/>
  <c r="H49" i="1"/>
  <c r="G49" i="1"/>
  <c r="K48" i="1"/>
  <c r="J48" i="1"/>
  <c r="I48" i="1"/>
  <c r="H48" i="1"/>
  <c r="G48" i="1"/>
  <c r="K47" i="1"/>
  <c r="J47" i="1"/>
  <c r="I47" i="1"/>
  <c r="H47" i="1"/>
  <c r="G47" i="1"/>
  <c r="K46" i="1"/>
  <c r="J46" i="1"/>
  <c r="I46" i="1"/>
  <c r="H46" i="1"/>
  <c r="G46" i="1"/>
  <c r="K45" i="1"/>
  <c r="J45" i="1"/>
  <c r="I45" i="1"/>
  <c r="H45" i="1"/>
  <c r="G45" i="1"/>
  <c r="K44" i="1"/>
  <c r="J44" i="1"/>
  <c r="I44" i="1"/>
  <c r="H44" i="1"/>
  <c r="G44" i="1"/>
  <c r="K43" i="1"/>
  <c r="J43" i="1"/>
  <c r="I43" i="1"/>
  <c r="H43" i="1"/>
  <c r="G43" i="1"/>
  <c r="K42" i="1"/>
  <c r="J42" i="1"/>
  <c r="I42" i="1"/>
  <c r="H42" i="1"/>
  <c r="G42" i="1"/>
  <c r="K41" i="1"/>
  <c r="J41" i="1"/>
  <c r="I41" i="1"/>
  <c r="H41" i="1"/>
  <c r="G41" i="1"/>
  <c r="K40" i="1"/>
  <c r="J40" i="1"/>
  <c r="I40" i="1"/>
  <c r="H40" i="1"/>
  <c r="G40" i="1"/>
  <c r="K39" i="1"/>
  <c r="J39" i="1"/>
  <c r="I39" i="1"/>
  <c r="H39" i="1"/>
  <c r="G39" i="1"/>
  <c r="K38" i="1"/>
  <c r="J38" i="1"/>
  <c r="I38" i="1"/>
  <c r="H38" i="1"/>
  <c r="G38" i="1"/>
  <c r="K37" i="1"/>
  <c r="J37" i="1"/>
  <c r="I37" i="1"/>
  <c r="H37" i="1"/>
  <c r="G37" i="1"/>
  <c r="K36" i="1"/>
  <c r="J36" i="1"/>
  <c r="I36" i="1"/>
  <c r="H36" i="1"/>
  <c r="G36" i="1"/>
  <c r="K35" i="1"/>
  <c r="J35" i="1"/>
  <c r="I35" i="1"/>
  <c r="H35" i="1"/>
  <c r="G35" i="1"/>
  <c r="K34" i="1"/>
  <c r="J34" i="1"/>
  <c r="I34" i="1"/>
  <c r="H34" i="1"/>
  <c r="G34" i="1"/>
  <c r="K33" i="1"/>
  <c r="J33" i="1"/>
  <c r="I33" i="1"/>
  <c r="H33" i="1"/>
  <c r="G33" i="1"/>
  <c r="K32" i="1"/>
  <c r="J32" i="1"/>
  <c r="I32" i="1"/>
  <c r="H32" i="1"/>
  <c r="G32" i="1"/>
  <c r="K31" i="1"/>
  <c r="J31" i="1"/>
  <c r="I31" i="1"/>
  <c r="H31" i="1"/>
  <c r="G31" i="1"/>
  <c r="K30" i="1"/>
  <c r="J30" i="1"/>
  <c r="I30" i="1"/>
  <c r="H30" i="1"/>
  <c r="G30" i="1"/>
  <c r="K29" i="1"/>
  <c r="J29" i="1"/>
  <c r="I29" i="1"/>
  <c r="H29" i="1"/>
  <c r="G29" i="1"/>
  <c r="K28" i="1"/>
  <c r="J28" i="1"/>
  <c r="I28" i="1"/>
  <c r="H28" i="1"/>
  <c r="G28" i="1"/>
  <c r="K27" i="1"/>
  <c r="J27" i="1"/>
  <c r="I27" i="1"/>
  <c r="H27" i="1"/>
  <c r="G27" i="1"/>
  <c r="K26" i="1"/>
  <c r="J26" i="1"/>
  <c r="I26" i="1"/>
  <c r="H26" i="1"/>
  <c r="G26" i="1"/>
  <c r="K25" i="1"/>
  <c r="J25" i="1"/>
  <c r="I25" i="1"/>
  <c r="H25" i="1"/>
  <c r="G25" i="1"/>
  <c r="K24" i="1"/>
  <c r="J24" i="1"/>
  <c r="I24" i="1"/>
  <c r="H24" i="1"/>
  <c r="G24" i="1"/>
  <c r="K23" i="1"/>
  <c r="J23" i="1"/>
  <c r="I23" i="1"/>
  <c r="H23" i="1"/>
  <c r="G23" i="1"/>
  <c r="K22" i="1"/>
  <c r="J22" i="1"/>
  <c r="I22" i="1"/>
  <c r="H22" i="1"/>
  <c r="G22" i="1"/>
  <c r="K21" i="1"/>
  <c r="J21" i="1"/>
  <c r="I21" i="1"/>
  <c r="H21" i="1"/>
  <c r="G21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K7" i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  <c r="O37" i="1"/>
  <c r="N5" i="1"/>
  <c r="O38" i="1"/>
  <c r="O9" i="1"/>
  <c r="O12" i="1"/>
  <c r="O10" i="1"/>
  <c r="O11" i="1"/>
  <c r="P11" i="1"/>
  <c r="P9" i="1"/>
  <c r="P10" i="1"/>
  <c r="P12" i="1"/>
</calcChain>
</file>

<file path=xl/sharedStrings.xml><?xml version="1.0" encoding="utf-8"?>
<sst xmlns="http://schemas.openxmlformats.org/spreadsheetml/2006/main" count="47" uniqueCount="35">
  <si>
    <t>Capital Asset Pricing Model- SAP, DBK, VOW3, DTE</t>
  </si>
  <si>
    <t>Date</t>
  </si>
  <si>
    <t>SAP</t>
  </si>
  <si>
    <t>DBK</t>
  </si>
  <si>
    <t>VOW3</t>
  </si>
  <si>
    <t>DTE</t>
  </si>
  <si>
    <t>DAX Index</t>
  </si>
  <si>
    <t xml:space="preserve">SAP Return </t>
  </si>
  <si>
    <t>DBK Return</t>
  </si>
  <si>
    <t>VOW3 Return</t>
  </si>
  <si>
    <t>DTE Return</t>
  </si>
  <si>
    <t>DAX Return</t>
  </si>
  <si>
    <t>Assumptions</t>
  </si>
  <si>
    <t>Value</t>
  </si>
  <si>
    <t>N/A</t>
  </si>
  <si>
    <t>Risk-Free Rate(Rf)</t>
  </si>
  <si>
    <t>Market Return(Rm)</t>
  </si>
  <si>
    <t>Asset</t>
  </si>
  <si>
    <t>Sector</t>
  </si>
  <si>
    <r>
      <t>Beta(</t>
    </r>
    <r>
      <rPr>
        <b/>
        <sz val="11"/>
        <color theme="1"/>
        <rFont val="Symbol"/>
        <family val="1"/>
        <charset val="2"/>
      </rPr>
      <t>b</t>
    </r>
    <r>
      <rPr>
        <b/>
        <sz val="11"/>
        <color theme="1"/>
        <rFont val="Aptos Narrow"/>
        <family val="2"/>
        <scheme val="minor"/>
      </rPr>
      <t>)</t>
    </r>
  </si>
  <si>
    <t>Expected Return( R )</t>
  </si>
  <si>
    <t>Risk Profile</t>
  </si>
  <si>
    <t>Technology</t>
  </si>
  <si>
    <t>High Risk (Aggressive)</t>
  </si>
  <si>
    <t>Financials</t>
  </si>
  <si>
    <t>Market Risk</t>
  </si>
  <si>
    <t xml:space="preserve">Consumer </t>
  </si>
  <si>
    <t>Very High Risk</t>
  </si>
  <si>
    <t>Telecom</t>
  </si>
  <si>
    <t>Low Risk (Defensive)</t>
  </si>
  <si>
    <t>Label</t>
  </si>
  <si>
    <t>X (Beta)</t>
  </si>
  <si>
    <t xml:space="preserve">Y (Expected Return) </t>
  </si>
  <si>
    <t>SML Start</t>
  </si>
  <si>
    <t>SMLEnd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</si>
</sst>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Symbol"/>
      <family val="1"/>
      <charset val="2"/>
    </font>
    <font>
      <b/>
      <sz val="15"/>
      <color theme="3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20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1" applyNumberFormat="0" applyFill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/>
    </xf>
    <xf numFmtId="10" fontId="5" fillId="0" borderId="0" xfId="1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5" fillId="0" borderId="0" xfId="1" applyNumberFormat="1" applyFont="1" applyAlignment="1">
      <alignment horizontal="center"/>
    </xf>
    <xf numFmtId="0" fontId="1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2" borderId="1" xfId="2" applyFont="1" applyFill="1"/>
    <xf numFmtId="0" fontId="0" fillId="2" borderId="0" xfId="0" applyFill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4" fontId="0" fillId="0" borderId="5" xfId="0" applyNumberFormat="1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</cellXfs>
  <cellStyles count="3">
    <cellStyle name="Heading 1" xfId="2" builtinId="16"/>
    <cellStyle name="Normal" xfId="0" builtinId="0"/>
    <cellStyle name="Percent" xfId="1" builtinId="5"/>
  </cellStyles>
  <dxfs count="18">
    <dxf>
      <font>
        <strike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Security</a:t>
            </a:r>
            <a:r>
              <a:rPr lang="en-IN" baseline="0"/>
              <a:t> Market Line: DAX Risk-Return Analysis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289652230971128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65048118985126"/>
          <c:y val="0.13138756093106183"/>
          <c:w val="0.84887729658792654"/>
          <c:h val="0.7615832273480556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SAP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A77-44D6-98E4-BE61959FA7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DBK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A77-44D6-98E4-BE61959FA7C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VOW3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A77-44D6-98E4-BE61959FA7C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DTE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A77-44D6-98E4-BE61959FA7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Sheet1!$N$37:$N$42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1.1399999999999999</c:v>
                </c:pt>
                <c:pt idx="3">
                  <c:v>1.01</c:v>
                </c:pt>
                <c:pt idx="4">
                  <c:v>1.58</c:v>
                </c:pt>
                <c:pt idx="5">
                  <c:v>0.7</c:v>
                </c:pt>
              </c:numCache>
            </c:numRef>
          </c:xVal>
          <c:yVal>
            <c:numRef>
              <c:f>Sheet1!$O$37:$O$42</c:f>
              <c:numCache>
                <c:formatCode>0.00%</c:formatCode>
                <c:ptCount val="6"/>
                <c:pt idx="0">
                  <c:v>2.4E-2</c:v>
                </c:pt>
                <c:pt idx="1">
                  <c:v>9.8627794084210629E-4</c:v>
                </c:pt>
                <c:pt idx="2">
                  <c:v>1.0844138E-2</c:v>
                </c:pt>
                <c:pt idx="3">
                  <c:v>1.2408209999999999E-2</c:v>
                </c:pt>
                <c:pt idx="4">
                  <c:v>5.8648370000000003E-3</c:v>
                </c:pt>
                <c:pt idx="5">
                  <c:v>1.5936972000000001E-2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7-44D6-98E4-BE61959FA7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9839679"/>
        <c:axId val="209840639"/>
      </c:scatterChart>
      <c:valAx>
        <c:axId val="20983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Beta</a:t>
                </a:r>
                <a:r>
                  <a:rPr lang="en-IN" sz="1100" baseline="0"/>
                  <a:t> </a:t>
                </a:r>
                <a:r>
                  <a:rPr lang="en-IN" sz="1100" baseline="0">
                    <a:latin typeface="Symbol" panose="05050102010706020507" pitchFamily="18" charset="2"/>
                  </a:rPr>
                  <a:t>(b</a:t>
                </a:r>
                <a:r>
                  <a:rPr lang="en-IN" sz="1100" baseline="0"/>
                  <a:t>)</a:t>
                </a:r>
                <a:endParaRPr lang="en-IN" sz="1100"/>
              </a:p>
            </c:rich>
          </c:tx>
          <c:layout>
            <c:manualLayout>
              <c:xMode val="edge"/>
              <c:yMode val="edge"/>
              <c:x val="0.49651199893889608"/>
              <c:y val="0.9341028913986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0639"/>
        <c:crosses val="autoZero"/>
        <c:crossBetween val="midCat"/>
      </c:valAx>
      <c:valAx>
        <c:axId val="209840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Expected</a:t>
                </a:r>
                <a:r>
                  <a:rPr lang="en-IN" sz="1100" baseline="0"/>
                  <a:t> Return (%)</a:t>
                </a:r>
              </a:p>
            </c:rich>
          </c:tx>
          <c:layout>
            <c:manualLayout>
              <c:xMode val="edge"/>
              <c:yMode val="edge"/>
              <c:x val="1.252149186327001E-2"/>
              <c:y val="0.34633742401856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3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428059</xdr:colOff>
      <xdr:row>14</xdr:row>
      <xdr:rowOff>0</xdr:rowOff>
    </xdr:from>
    <xdr:to>
      <xdr:col>17</xdr:col>
      <xdr:colOff>96383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271F7F-6110-40A2-C905-40F2BAD8B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CDC3C-B291-4CA3-A5E0-F7389D01A76B}" name="Table1" displayName="Table1" ref="M8:Q12" totalsRowShown="0" headerRowDxfId="17" dataDxfId="16" headerRowBorderDxfId="15">
  <autoFilter ref="M8:Q12" xr:uid="{3DECDC3C-B291-4CA3-A5E0-F7389D01A76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0E3EF17-4DD6-4487-A5C1-470F42ABDAB1}" name="Asset" dataDxfId="14"/>
    <tableColumn id="2" xr3:uid="{06A35BB8-E946-4196-85A8-B61F5A948E8D}" name="Sector" dataDxfId="13"/>
    <tableColumn id="3" xr3:uid="{F215A3EC-75A8-4602-822B-9F9DC69CA1F8}" name="Beta(b)" dataDxfId="12" dataCellStyle="Percent"/>
    <tableColumn id="4" xr3:uid="{81951F1C-FB63-4FBB-9884-A7933BCF411F}" name="Expected Return( R )" dataDxfId="11">
      <calculatedColumnFormula>$N$4 +O9*($N$5-$N$4)</calculatedColumnFormula>
    </tableColumn>
    <tableColumn id="5" xr3:uid="{160BEE62-7316-4099-9BE2-DB75041E9F38}" name="Risk Profile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4AF4C3-2A29-4F05-AC1D-BB86A928EE59}" name="Table5" displayName="Table5" ref="M36:O42" totalsRowShown="0" headerRowDxfId="9" headerRowBorderDxfId="8">
  <autoFilter ref="M36:O42" xr:uid="{B24AF4C3-2A29-4F05-AC1D-BB86A928EE59}">
    <filterColumn colId="0" hiddenButton="1"/>
    <filterColumn colId="1" hiddenButton="1"/>
    <filterColumn colId="2" hiddenButton="1"/>
  </autoFilter>
  <tableColumns count="3">
    <tableColumn id="1" xr3:uid="{7C28DD7B-4557-42B2-92FA-7FD5A155A5EC}" name="Label" dataDxfId="7"/>
    <tableColumn id="2" xr3:uid="{D1E7492C-B528-41C4-B3E6-C296D45951AA}" name="X (Beta)" dataDxfId="6"/>
    <tableColumn id="3" xr3:uid="{D639C0A0-7898-4CA9-BD1C-A7861AE8FAF2}" name="Y (Expected Return) 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22F0EB-15DD-4FB8-B52D-3A95071C0DEF}" name="Table3" displayName="Table3" ref="M3:N5" headerRowBorderDxfId="4">
  <autoFilter ref="M3:N5" xr:uid="{AF22F0EB-15DD-4FB8-B52D-3A95071C0DEF}">
    <filterColumn colId="0" hiddenButton="1"/>
    <filterColumn colId="1" hiddenButton="1"/>
  </autoFilter>
  <tableColumns count="2">
    <tableColumn id="1" xr3:uid="{6A6F27DA-4FB2-486A-AD18-31A6BBFC2D8E}" name="Assumptions" totalsRowLabel="Total" dataDxfId="2" totalsRowDxfId="3"/>
    <tableColumn id="2" xr3:uid="{DAD1BE5B-458B-4C78-AC1F-9A8FA90601CA}" name="Value" totalsRowFunction="sum" dataDxfId="0" totalsRowDxfId="1">
      <calculatedColumnFormula>AVERAGE(K4:K62)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125A-5B34-4ECA-B8C6-76958752B1F2}">
  <dimension ref="A1:W128"/>
  <sheetViews>
    <sheetView tabSelected="1" zoomScale="56" zoomScaleNormal="111" workbookViewId="0">
      <selection activeCell="E10" sqref="E10"/>
    </sheetView>
  </sheetViews>
  <sheetFormatPr defaultRowHeight="14.45"/>
  <cols>
    <col min="1" max="1" width="12.5703125" customWidth="1"/>
    <col min="2" max="4" width="11.5703125" customWidth="1"/>
    <col min="5" max="5" width="15.140625" customWidth="1"/>
    <col min="6" max="6" width="15.28515625" customWidth="1"/>
    <col min="7" max="7" width="14.28515625" customWidth="1"/>
    <col min="8" max="8" width="15.7109375" customWidth="1"/>
    <col min="9" max="9" width="13.85546875" customWidth="1"/>
    <col min="10" max="10" width="14" customWidth="1"/>
    <col min="11" max="11" width="11.5703125" customWidth="1"/>
    <col min="12" max="12" width="17.140625" customWidth="1"/>
    <col min="13" max="13" width="14.5703125" customWidth="1"/>
    <col min="14" max="14" width="21.42578125" customWidth="1"/>
    <col min="15" max="15" width="23.42578125" customWidth="1"/>
    <col min="16" max="16" width="20.5703125" customWidth="1"/>
    <col min="22" max="22" width="17.140625" customWidth="1"/>
  </cols>
  <sheetData>
    <row r="1" spans="1:17" s="16" customFormat="1" ht="26.45" thickBot="1">
      <c r="A1" s="15" t="s">
        <v>0</v>
      </c>
    </row>
    <row r="2" spans="1:17" ht="15" thickTop="1"/>
    <row r="3" spans="1:17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9" t="s">
        <v>11</v>
      </c>
      <c r="M3" s="8" t="s">
        <v>12</v>
      </c>
      <c r="N3" s="14" t="s">
        <v>13</v>
      </c>
    </row>
    <row r="4" spans="1:17">
      <c r="A4" s="23">
        <v>43983</v>
      </c>
      <c r="B4" s="1">
        <v>123.64100000000001</v>
      </c>
      <c r="C4" s="1">
        <v>8.4640000000000004</v>
      </c>
      <c r="D4" s="4">
        <v>143.30000000000001</v>
      </c>
      <c r="E4" s="4">
        <v>14.945</v>
      </c>
      <c r="F4" s="3">
        <v>12310.93</v>
      </c>
      <c r="G4" s="5" t="s">
        <v>14</v>
      </c>
      <c r="H4" s="5" t="s">
        <v>14</v>
      </c>
      <c r="I4" s="5" t="s">
        <v>14</v>
      </c>
      <c r="J4" s="5" t="s">
        <v>14</v>
      </c>
      <c r="K4" s="21" t="s">
        <v>14</v>
      </c>
      <c r="M4" s="2" t="s">
        <v>15</v>
      </c>
      <c r="N4" s="6">
        <v>2.4E-2</v>
      </c>
    </row>
    <row r="5" spans="1:17">
      <c r="A5" s="23">
        <v>44013</v>
      </c>
      <c r="B5" s="1">
        <v>133.04900000000001</v>
      </c>
      <c r="C5" s="1">
        <v>7.5910000000000002</v>
      </c>
      <c r="D5" s="4">
        <v>132.69999999999999</v>
      </c>
      <c r="E5" s="4">
        <v>14.164999999999999</v>
      </c>
      <c r="F5" s="3">
        <v>12313.36</v>
      </c>
      <c r="G5" s="5">
        <f>(B5-B4)/B4</f>
        <v>7.6091264224650401E-2</v>
      </c>
      <c r="H5" s="5">
        <f>(C5-C4)/C4</f>
        <v>-0.1031427221172023</v>
      </c>
      <c r="I5" s="5">
        <f>(D5-D4)/D4</f>
        <v>-7.3970690858339308E-2</v>
      </c>
      <c r="J5" s="5">
        <f>(E5-E4)/E4</f>
        <v>-5.2191368350619008E-2</v>
      </c>
      <c r="K5" s="21">
        <f>(F5-F4)/F4</f>
        <v>1.9738557525713257E-4</v>
      </c>
      <c r="M5" s="2" t="s">
        <v>16</v>
      </c>
      <c r="N5" s="7">
        <f>AVERAGE(K5:K63)</f>
        <v>1.2493138970421053E-2</v>
      </c>
    </row>
    <row r="6" spans="1:17">
      <c r="A6" s="23">
        <v>44044</v>
      </c>
      <c r="B6" s="1">
        <v>137.286</v>
      </c>
      <c r="C6" s="1">
        <v>8.0250000000000004</v>
      </c>
      <c r="D6" s="4">
        <v>150.19999999999999</v>
      </c>
      <c r="E6" s="4">
        <v>14.75</v>
      </c>
      <c r="F6" s="3">
        <v>12945.38</v>
      </c>
      <c r="G6" s="5">
        <f t="shared" ref="G6:G63" si="0">(B6-B5)/B5</f>
        <v>3.1845410337544774E-2</v>
      </c>
      <c r="H6" s="5">
        <f t="shared" ref="H6:H63" si="1">(C6-C5)/C5</f>
        <v>5.7172967988407347E-2</v>
      </c>
      <c r="I6" s="5">
        <f t="shared" ref="I6:I63" si="2">(D6-D5)/D5</f>
        <v>0.13187641296156746</v>
      </c>
      <c r="J6" s="5">
        <f t="shared" ref="J6:J63" si="3">(E6-E5)/E5</f>
        <v>4.1298976350158903E-2</v>
      </c>
      <c r="K6" s="21">
        <f t="shared" ref="K6:K63" si="4">(F6-F5)/F5</f>
        <v>5.1327988461313451E-2</v>
      </c>
    </row>
    <row r="7" spans="1:17">
      <c r="A7" s="23">
        <v>44075</v>
      </c>
      <c r="B7" s="1">
        <v>132.035</v>
      </c>
      <c r="C7" s="1">
        <v>7.19</v>
      </c>
      <c r="D7" s="4">
        <v>149.19999999999999</v>
      </c>
      <c r="E7" s="4">
        <v>14.29</v>
      </c>
      <c r="F7" s="3">
        <v>12760.73</v>
      </c>
      <c r="G7" s="5">
        <f t="shared" si="0"/>
        <v>-3.8248619669886255E-2</v>
      </c>
      <c r="H7" s="5">
        <f t="shared" si="1"/>
        <v>-0.10404984423676011</v>
      </c>
      <c r="I7" s="5">
        <f t="shared" si="2"/>
        <v>-6.6577896138482031E-3</v>
      </c>
      <c r="J7" s="5">
        <f t="shared" si="3"/>
        <v>-3.1186440677966158E-2</v>
      </c>
      <c r="K7" s="21">
        <f t="shared" si="4"/>
        <v>-1.4263775957136805E-2</v>
      </c>
    </row>
    <row r="8" spans="1:17">
      <c r="A8" s="23">
        <v>44105</v>
      </c>
      <c r="B8" s="1">
        <v>90.99</v>
      </c>
      <c r="C8" s="1">
        <v>7.9009999999999998</v>
      </c>
      <c r="D8" s="4">
        <v>133.6</v>
      </c>
      <c r="E8" s="4">
        <v>13.07</v>
      </c>
      <c r="F8" s="3">
        <v>11556.48</v>
      </c>
      <c r="G8" s="5">
        <f t="shared" si="0"/>
        <v>-0.31086454349225584</v>
      </c>
      <c r="H8" s="5">
        <f t="shared" si="1"/>
        <v>9.8887343532684191E-2</v>
      </c>
      <c r="I8" s="5">
        <f t="shared" si="2"/>
        <v>-0.10455764075067021</v>
      </c>
      <c r="J8" s="5">
        <f t="shared" si="3"/>
        <v>-8.5374387683694819E-2</v>
      </c>
      <c r="K8" s="21">
        <f t="shared" si="4"/>
        <v>-9.4371560247728775E-2</v>
      </c>
      <c r="M8" s="8" t="s">
        <v>17</v>
      </c>
      <c r="N8" s="8" t="s">
        <v>18</v>
      </c>
      <c r="O8" s="13" t="s">
        <v>19</v>
      </c>
      <c r="P8" s="8" t="s">
        <v>20</v>
      </c>
      <c r="Q8" s="8" t="s">
        <v>21</v>
      </c>
    </row>
    <row r="9" spans="1:17">
      <c r="A9" s="23">
        <v>44136</v>
      </c>
      <c r="B9" s="1">
        <v>101.423</v>
      </c>
      <c r="C9" s="1">
        <v>9.343</v>
      </c>
      <c r="D9" s="4">
        <v>155.5</v>
      </c>
      <c r="E9" s="4">
        <v>15.115</v>
      </c>
      <c r="F9" s="3">
        <v>13291.16</v>
      </c>
      <c r="G9" s="5">
        <f t="shared" si="0"/>
        <v>0.11466095175293997</v>
      </c>
      <c r="H9" s="5">
        <f t="shared" si="1"/>
        <v>0.18250854322237695</v>
      </c>
      <c r="I9" s="5">
        <f t="shared" si="2"/>
        <v>0.16392215568862281</v>
      </c>
      <c r="J9" s="5">
        <f t="shared" si="3"/>
        <v>0.15646518745218055</v>
      </c>
      <c r="K9" s="21">
        <f t="shared" si="4"/>
        <v>0.15010453009913055</v>
      </c>
      <c r="M9" s="2" t="s">
        <v>2</v>
      </c>
      <c r="N9" s="1" t="s">
        <v>22</v>
      </c>
      <c r="O9" s="12">
        <f>SLOPE(G5:G63, K5:K63)</f>
        <v>1.1433059142175119</v>
      </c>
      <c r="P9" s="11">
        <f>$N$4 +O9*($N$5-$N$4)</f>
        <v>1.0844137730803382E-2</v>
      </c>
      <c r="Q9" s="1" t="s">
        <v>23</v>
      </c>
    </row>
    <row r="10" spans="1:17">
      <c r="A10" s="23">
        <v>44166</v>
      </c>
      <c r="B10" s="1">
        <v>106.634</v>
      </c>
      <c r="C10" s="1">
        <v>8.9489999999999998</v>
      </c>
      <c r="D10" s="4">
        <v>170.1</v>
      </c>
      <c r="E10" s="4">
        <v>14.955</v>
      </c>
      <c r="F10" s="3">
        <v>13718.78</v>
      </c>
      <c r="G10" s="5">
        <f t="shared" si="0"/>
        <v>5.1378878558117964E-2</v>
      </c>
      <c r="H10" s="5">
        <f t="shared" si="1"/>
        <v>-4.2170609012094629E-2</v>
      </c>
      <c r="I10" s="5">
        <f t="shared" si="2"/>
        <v>9.3890675241157517E-2</v>
      </c>
      <c r="J10" s="5">
        <f t="shared" si="3"/>
        <v>-1.0585511081706923E-2</v>
      </c>
      <c r="K10" s="21">
        <f t="shared" si="4"/>
        <v>3.2173264034140045E-2</v>
      </c>
      <c r="M10" s="2" t="s">
        <v>3</v>
      </c>
      <c r="N10" s="1" t="s">
        <v>24</v>
      </c>
      <c r="O10" s="12">
        <f>SLOPE(H5:H63, K5:K63)</f>
        <v>1.0073807654943412</v>
      </c>
      <c r="P10" s="11">
        <f>$N$4 +O10*($N$5-$N$4)</f>
        <v>1.2408209527585758E-2</v>
      </c>
      <c r="Q10" s="1" t="s">
        <v>25</v>
      </c>
    </row>
    <row r="11" spans="1:17">
      <c r="A11" s="23">
        <v>44197</v>
      </c>
      <c r="B11" s="1">
        <v>104.227</v>
      </c>
      <c r="C11" s="1">
        <v>8.3689999999999998</v>
      </c>
      <c r="D11" s="4">
        <v>174.5</v>
      </c>
      <c r="E11" s="4">
        <v>14.7</v>
      </c>
      <c r="F11" s="3">
        <v>13432.87</v>
      </c>
      <c r="G11" s="5">
        <f t="shared" si="0"/>
        <v>-2.2572537839713379E-2</v>
      </c>
      <c r="H11" s="5">
        <f t="shared" si="1"/>
        <v>-6.4811710805676617E-2</v>
      </c>
      <c r="I11" s="5">
        <f t="shared" si="2"/>
        <v>2.5867136978248124E-2</v>
      </c>
      <c r="J11" s="5">
        <f t="shared" si="3"/>
        <v>-1.7051153460381194E-2</v>
      </c>
      <c r="K11" s="21">
        <f t="shared" si="4"/>
        <v>-2.0840774471199322E-2</v>
      </c>
      <c r="M11" s="2" t="s">
        <v>4</v>
      </c>
      <c r="N11" s="1" t="s">
        <v>26</v>
      </c>
      <c r="O11" s="12">
        <f>SLOPE(I5:I63, K5:K63)</f>
        <v>1.5760303856058198</v>
      </c>
      <c r="P11" s="11">
        <f>$N$4 +O11*($N$5-$N$4)</f>
        <v>5.8648373744401121E-3</v>
      </c>
      <c r="Q11" s="1" t="s">
        <v>27</v>
      </c>
    </row>
    <row r="12" spans="1:17">
      <c r="A12" s="23">
        <v>44228</v>
      </c>
      <c r="B12" s="1">
        <v>101.502</v>
      </c>
      <c r="C12" s="1">
        <v>10.214</v>
      </c>
      <c r="D12" s="4">
        <v>193.7</v>
      </c>
      <c r="E12" s="4">
        <v>15.03</v>
      </c>
      <c r="F12" s="3">
        <v>13786.29</v>
      </c>
      <c r="G12" s="5">
        <f t="shared" si="0"/>
        <v>-2.6144856898884246E-2</v>
      </c>
      <c r="H12" s="5">
        <f t="shared" si="1"/>
        <v>0.22045644640936798</v>
      </c>
      <c r="I12" s="5">
        <f t="shared" si="2"/>
        <v>0.11002865329512887</v>
      </c>
      <c r="J12" s="5">
        <f t="shared" si="3"/>
        <v>2.244897959183674E-2</v>
      </c>
      <c r="K12" s="21">
        <f t="shared" si="4"/>
        <v>2.6310088610996759E-2</v>
      </c>
      <c r="M12" s="2" t="s">
        <v>5</v>
      </c>
      <c r="N12" s="1" t="s">
        <v>28</v>
      </c>
      <c r="O12" s="12">
        <f>SLOPE(J5:J63, K5:K63)</f>
        <v>0.70071483038252547</v>
      </c>
      <c r="P12" s="11">
        <f>$N$4 +O12*($N$5-$N$4)</f>
        <v>1.5936971825423297E-2</v>
      </c>
      <c r="Q12" s="1" t="s">
        <v>29</v>
      </c>
    </row>
    <row r="13" spans="1:17">
      <c r="A13" s="23">
        <v>44256</v>
      </c>
      <c r="B13" s="1">
        <v>103.849</v>
      </c>
      <c r="C13" s="1">
        <v>10.188000000000001</v>
      </c>
      <c r="D13" s="4">
        <v>309.2</v>
      </c>
      <c r="E13" s="4">
        <v>17.170000000000002</v>
      </c>
      <c r="F13" s="3">
        <v>15008.34</v>
      </c>
      <c r="G13" s="5">
        <f t="shared" si="0"/>
        <v>2.3122697089712603E-2</v>
      </c>
      <c r="H13" s="5">
        <f t="shared" si="1"/>
        <v>-2.5455257489719798E-3</v>
      </c>
      <c r="I13" s="5">
        <f t="shared" si="2"/>
        <v>0.59628291171915337</v>
      </c>
      <c r="J13" s="5">
        <f t="shared" si="3"/>
        <v>0.14238190286094493</v>
      </c>
      <c r="K13" s="21">
        <f t="shared" si="4"/>
        <v>8.8642412135534587E-2</v>
      </c>
      <c r="P13" s="2"/>
    </row>
    <row r="14" spans="1:17">
      <c r="A14" s="23">
        <v>44287</v>
      </c>
      <c r="B14" s="1">
        <v>116.122</v>
      </c>
      <c r="C14" s="1">
        <v>11.606</v>
      </c>
      <c r="D14" s="4">
        <v>264.2</v>
      </c>
      <c r="E14" s="4">
        <v>16</v>
      </c>
      <c r="F14" s="3">
        <v>15135.91</v>
      </c>
      <c r="G14" s="5">
        <f t="shared" si="0"/>
        <v>0.118181205404</v>
      </c>
      <c r="H14" s="5">
        <f t="shared" si="1"/>
        <v>0.13918335296427162</v>
      </c>
      <c r="I14" s="5">
        <f t="shared" si="2"/>
        <v>-0.14553686934023286</v>
      </c>
      <c r="J14" s="5">
        <f t="shared" si="3"/>
        <v>-6.814210832848E-2</v>
      </c>
      <c r="K14" s="21">
        <f t="shared" si="4"/>
        <v>8.4999406996376491E-3</v>
      </c>
      <c r="P14" s="1"/>
    </row>
    <row r="15" spans="1:17">
      <c r="A15" s="23">
        <v>44317</v>
      </c>
      <c r="B15" s="1">
        <v>112.9</v>
      </c>
      <c r="C15" s="1">
        <v>12.192</v>
      </c>
      <c r="D15" s="4">
        <v>291.60000000000002</v>
      </c>
      <c r="E15" s="4">
        <v>16.994</v>
      </c>
      <c r="F15" s="3">
        <v>15421.13</v>
      </c>
      <c r="G15" s="5">
        <f t="shared" si="0"/>
        <v>-2.7746680215635231E-2</v>
      </c>
      <c r="H15" s="5">
        <f t="shared" si="1"/>
        <v>5.0491125280027596E-2</v>
      </c>
      <c r="I15" s="5">
        <f t="shared" si="2"/>
        <v>0.10370931112793352</v>
      </c>
      <c r="J15" s="5">
        <f t="shared" si="3"/>
        <v>6.2124999999999986E-2</v>
      </c>
      <c r="K15" s="21">
        <f t="shared" si="4"/>
        <v>1.8843928115323053E-2</v>
      </c>
      <c r="P15" s="1"/>
    </row>
    <row r="16" spans="1:17">
      <c r="A16" s="23">
        <v>44348</v>
      </c>
      <c r="B16" s="1">
        <v>118.191</v>
      </c>
      <c r="C16" s="1">
        <v>10.986000000000001</v>
      </c>
      <c r="D16" s="4">
        <v>276.8</v>
      </c>
      <c r="E16" s="4">
        <v>17.812000000000001</v>
      </c>
      <c r="F16" s="3">
        <v>15531.04</v>
      </c>
      <c r="G16" s="5">
        <f t="shared" si="0"/>
        <v>4.6864481842338324E-2</v>
      </c>
      <c r="H16" s="5">
        <f t="shared" si="1"/>
        <v>-9.8917322834645632E-2</v>
      </c>
      <c r="I16" s="5">
        <f t="shared" si="2"/>
        <v>-5.0754458161865607E-2</v>
      </c>
      <c r="J16" s="5">
        <f t="shared" si="3"/>
        <v>4.8134635753795542E-2</v>
      </c>
      <c r="K16" s="21">
        <f t="shared" si="4"/>
        <v>7.1272338667790029E-3</v>
      </c>
    </row>
    <row r="17" spans="1:23">
      <c r="A17" s="23">
        <v>44378</v>
      </c>
      <c r="B17" s="1">
        <v>120.18</v>
      </c>
      <c r="C17" s="1">
        <v>10.657999999999999</v>
      </c>
      <c r="D17" s="4">
        <v>280</v>
      </c>
      <c r="E17" s="4">
        <v>17.506</v>
      </c>
      <c r="F17" s="3">
        <v>15544.39</v>
      </c>
      <c r="G17" s="5">
        <f t="shared" si="0"/>
        <v>1.6828692540041157E-2</v>
      </c>
      <c r="H17" s="5">
        <f t="shared" si="1"/>
        <v>-2.9856180593482721E-2</v>
      </c>
      <c r="I17" s="5">
        <f t="shared" si="2"/>
        <v>1.1560693641618455E-2</v>
      </c>
      <c r="J17" s="5">
        <f t="shared" si="3"/>
        <v>-1.7179429598023856E-2</v>
      </c>
      <c r="K17" s="21">
        <f t="shared" si="4"/>
        <v>8.5956896640524674E-4</v>
      </c>
    </row>
    <row r="18" spans="1:23">
      <c r="A18" s="23">
        <v>44409</v>
      </c>
      <c r="B18" s="1">
        <v>126.764</v>
      </c>
      <c r="C18" s="1">
        <v>10.528</v>
      </c>
      <c r="D18" s="4">
        <v>283.2</v>
      </c>
      <c r="E18" s="4">
        <v>18.007999999999999</v>
      </c>
      <c r="F18" s="3">
        <v>15835.09</v>
      </c>
      <c r="G18" s="5">
        <f t="shared" si="0"/>
        <v>5.4784489931768918E-2</v>
      </c>
      <c r="H18" s="5">
        <f t="shared" si="1"/>
        <v>-1.2197410395946615E-2</v>
      </c>
      <c r="I18" s="5">
        <f t="shared" si="2"/>
        <v>1.1428571428571389E-2</v>
      </c>
      <c r="J18" s="5">
        <f t="shared" si="3"/>
        <v>2.867588255455266E-2</v>
      </c>
      <c r="K18" s="21">
        <f t="shared" si="4"/>
        <v>1.8701280654950161E-2</v>
      </c>
    </row>
    <row r="19" spans="1:23">
      <c r="A19" s="23">
        <v>44440</v>
      </c>
      <c r="B19" s="1">
        <v>116.241</v>
      </c>
      <c r="C19" s="1">
        <v>11.038</v>
      </c>
      <c r="D19" s="4">
        <v>268</v>
      </c>
      <c r="E19" s="4">
        <v>17.396000000000001</v>
      </c>
      <c r="F19" s="3">
        <v>15260.69</v>
      </c>
      <c r="G19" s="5">
        <f t="shared" si="0"/>
        <v>-8.3012527215928791E-2</v>
      </c>
      <c r="H19" s="5">
        <f t="shared" si="1"/>
        <v>4.8442249240121561E-2</v>
      </c>
      <c r="I19" s="5">
        <f t="shared" si="2"/>
        <v>-5.3672316384180754E-2</v>
      </c>
      <c r="J19" s="5">
        <f t="shared" si="3"/>
        <v>-3.3984895601954598E-2</v>
      </c>
      <c r="K19" s="21">
        <f t="shared" si="4"/>
        <v>-3.6273870246395799E-2</v>
      </c>
    </row>
    <row r="20" spans="1:23">
      <c r="A20" s="23">
        <v>44470</v>
      </c>
      <c r="B20" s="1">
        <v>124.63500000000001</v>
      </c>
      <c r="C20" s="1">
        <v>11.146000000000001</v>
      </c>
      <c r="D20" s="4">
        <v>280.8</v>
      </c>
      <c r="E20" s="4">
        <v>16.077999999999999</v>
      </c>
      <c r="F20" s="3">
        <v>15688.77</v>
      </c>
      <c r="G20" s="5">
        <f t="shared" si="0"/>
        <v>7.2212042222623729E-2</v>
      </c>
      <c r="H20" s="5">
        <f t="shared" si="1"/>
        <v>9.78438122848347E-3</v>
      </c>
      <c r="I20" s="5">
        <f t="shared" si="2"/>
        <v>4.7761194029850788E-2</v>
      </c>
      <c r="J20" s="5">
        <f t="shared" si="3"/>
        <v>-7.5764543573235296E-2</v>
      </c>
      <c r="K20" s="21">
        <f t="shared" si="4"/>
        <v>2.8051156271439882E-2</v>
      </c>
    </row>
    <row r="21" spans="1:23">
      <c r="A21" s="23">
        <v>44501</v>
      </c>
      <c r="B21" s="1">
        <v>112.562</v>
      </c>
      <c r="C21" s="1">
        <v>10.66</v>
      </c>
      <c r="D21" s="4">
        <v>246.4</v>
      </c>
      <c r="E21" s="4">
        <v>15.587999999999999</v>
      </c>
      <c r="F21" s="3">
        <v>15100.13</v>
      </c>
      <c r="G21" s="5">
        <f t="shared" si="0"/>
        <v>-9.6866851205520174E-2</v>
      </c>
      <c r="H21" s="5">
        <f t="shared" si="1"/>
        <v>-4.3603086308989826E-2</v>
      </c>
      <c r="I21" s="5">
        <f t="shared" si="2"/>
        <v>-0.12250712250712252</v>
      </c>
      <c r="J21" s="5">
        <f t="shared" si="3"/>
        <v>-3.047642741634533E-2</v>
      </c>
      <c r="K21" s="21">
        <f t="shared" si="4"/>
        <v>-3.7519831063875707E-2</v>
      </c>
    </row>
    <row r="22" spans="1:23">
      <c r="A22" s="23">
        <v>44531</v>
      </c>
      <c r="B22" s="1">
        <v>124.218</v>
      </c>
      <c r="C22" s="1">
        <v>11.018000000000001</v>
      </c>
      <c r="D22" s="4">
        <v>258.39999999999998</v>
      </c>
      <c r="E22" s="4">
        <v>16.3</v>
      </c>
      <c r="F22" s="3">
        <v>15884.86</v>
      </c>
      <c r="G22" s="5">
        <f t="shared" si="0"/>
        <v>0.10355182033012923</v>
      </c>
      <c r="H22" s="5">
        <f t="shared" si="1"/>
        <v>3.358348968105071E-2</v>
      </c>
      <c r="I22" s="5">
        <f t="shared" si="2"/>
        <v>4.8701298701298586E-2</v>
      </c>
      <c r="J22" s="5">
        <f t="shared" si="3"/>
        <v>4.5676161149602358E-2</v>
      </c>
      <c r="K22" s="21">
        <f t="shared" si="4"/>
        <v>5.1968426761888897E-2</v>
      </c>
    </row>
    <row r="23" spans="1:23">
      <c r="A23" s="23">
        <v>44562</v>
      </c>
      <c r="B23" s="1">
        <v>109.797</v>
      </c>
      <c r="C23" s="1">
        <v>12.254</v>
      </c>
      <c r="D23" s="4">
        <v>254.2</v>
      </c>
      <c r="E23" s="4">
        <v>16.672000000000001</v>
      </c>
      <c r="F23" s="3">
        <v>15471.2</v>
      </c>
      <c r="G23" s="5">
        <f t="shared" si="0"/>
        <v>-0.11609428585229199</v>
      </c>
      <c r="H23" s="5">
        <f t="shared" si="1"/>
        <v>0.11218006897803583</v>
      </c>
      <c r="I23" s="5">
        <f t="shared" si="2"/>
        <v>-1.6253869969040206E-2</v>
      </c>
      <c r="J23" s="5">
        <f t="shared" si="3"/>
        <v>2.2822085889570545E-2</v>
      </c>
      <c r="K23" s="21">
        <f t="shared" si="4"/>
        <v>-2.6041148615725908E-2</v>
      </c>
      <c r="V23" s="2"/>
      <c r="W23" s="1"/>
    </row>
    <row r="24" spans="1:23">
      <c r="A24" s="23">
        <v>44593</v>
      </c>
      <c r="B24" s="1">
        <v>100.76600000000001</v>
      </c>
      <c r="C24" s="1">
        <v>11.26</v>
      </c>
      <c r="D24" s="4">
        <v>235.2</v>
      </c>
      <c r="E24" s="4">
        <v>16.03</v>
      </c>
      <c r="F24" s="3">
        <v>14461.02</v>
      </c>
      <c r="G24" s="5">
        <f t="shared" si="0"/>
        <v>-8.2251791943313501E-2</v>
      </c>
      <c r="H24" s="5">
        <f t="shared" si="1"/>
        <v>-8.1116370164844118E-2</v>
      </c>
      <c r="I24" s="5">
        <f t="shared" si="2"/>
        <v>-7.4744295830055082E-2</v>
      </c>
      <c r="J24" s="5">
        <f t="shared" si="3"/>
        <v>-3.8507677543186146E-2</v>
      </c>
      <c r="K24" s="21">
        <f t="shared" si="4"/>
        <v>-6.5294224106727361E-2</v>
      </c>
      <c r="V24" s="2"/>
      <c r="W24" s="6"/>
    </row>
    <row r="25" spans="1:23">
      <c r="A25" s="23">
        <v>44621</v>
      </c>
      <c r="B25" s="1">
        <v>100.56699999999999</v>
      </c>
      <c r="C25" s="1">
        <v>11.51</v>
      </c>
      <c r="D25" s="4">
        <v>226.2</v>
      </c>
      <c r="E25" s="4">
        <v>16.931999999999999</v>
      </c>
      <c r="F25" s="3">
        <v>14414.75</v>
      </c>
      <c r="G25" s="5">
        <f t="shared" si="0"/>
        <v>-1.9748724768276229E-3</v>
      </c>
      <c r="H25" s="5">
        <f t="shared" si="1"/>
        <v>2.2202486678507993E-2</v>
      </c>
      <c r="I25" s="5">
        <f t="shared" si="2"/>
        <v>-3.826530612244898E-2</v>
      </c>
      <c r="J25" s="5">
        <f t="shared" si="3"/>
        <v>5.6269494697442135E-2</v>
      </c>
      <c r="K25" s="21">
        <f t="shared" si="4"/>
        <v>-3.1996359869497751E-3</v>
      </c>
      <c r="V25" s="2"/>
      <c r="W25" s="7"/>
    </row>
    <row r="26" spans="1:23">
      <c r="A26" s="23">
        <v>44652</v>
      </c>
      <c r="B26" s="1">
        <v>97.027000000000001</v>
      </c>
      <c r="C26" s="1">
        <v>9.6259999999999994</v>
      </c>
      <c r="D26" s="4">
        <v>209.2</v>
      </c>
      <c r="E26" s="4">
        <v>17.57</v>
      </c>
      <c r="F26" s="3">
        <v>14097.88</v>
      </c>
      <c r="G26" s="5">
        <f t="shared" si="0"/>
        <v>-3.5200413654578461E-2</v>
      </c>
      <c r="H26" s="5">
        <f t="shared" si="1"/>
        <v>-0.16368375325803652</v>
      </c>
      <c r="I26" s="5">
        <f t="shared" si="2"/>
        <v>-7.515473032714412E-2</v>
      </c>
      <c r="J26" s="5">
        <f t="shared" si="3"/>
        <v>3.7680132293881508E-2</v>
      </c>
      <c r="K26" s="21">
        <f t="shared" si="4"/>
        <v>-2.1982344473542782E-2</v>
      </c>
    </row>
    <row r="27" spans="1:23">
      <c r="A27" s="23">
        <v>44682</v>
      </c>
      <c r="B27" s="1">
        <v>92.79</v>
      </c>
      <c r="C27" s="1">
        <v>10.374000000000001</v>
      </c>
      <c r="D27" s="4">
        <v>209.4</v>
      </c>
      <c r="E27" s="4">
        <v>19.123999999999999</v>
      </c>
      <c r="F27" s="3">
        <v>14388.35</v>
      </c>
      <c r="G27" s="5">
        <f t="shared" si="0"/>
        <v>-4.3668257289208104E-2</v>
      </c>
      <c r="H27" s="5">
        <f t="shared" si="1"/>
        <v>7.7706212341575015E-2</v>
      </c>
      <c r="I27" s="5">
        <f t="shared" si="2"/>
        <v>9.5602294455075082E-4</v>
      </c>
      <c r="J27" s="5">
        <f t="shared" si="3"/>
        <v>8.8446215139442147E-2</v>
      </c>
      <c r="K27" s="21">
        <f t="shared" si="4"/>
        <v>2.06038070972374E-2</v>
      </c>
    </row>
    <row r="28" spans="1:23">
      <c r="A28" s="23">
        <v>44713</v>
      </c>
      <c r="B28" s="1">
        <v>86.93</v>
      </c>
      <c r="C28" s="1">
        <v>8.3179999999999996</v>
      </c>
      <c r="D28" s="4">
        <v>173.9</v>
      </c>
      <c r="E28" s="4">
        <v>18.946000000000002</v>
      </c>
      <c r="F28" s="3">
        <v>12783.77</v>
      </c>
      <c r="G28" s="5">
        <f t="shared" si="0"/>
        <v>-6.3153357042784769E-2</v>
      </c>
      <c r="H28" s="5">
        <f t="shared" si="1"/>
        <v>-0.19818777713514563</v>
      </c>
      <c r="I28" s="5">
        <f t="shared" si="2"/>
        <v>-0.16953199617956063</v>
      </c>
      <c r="J28" s="5">
        <f t="shared" si="3"/>
        <v>-9.3076762183642164E-3</v>
      </c>
      <c r="K28" s="21">
        <f t="shared" si="4"/>
        <v>-0.11151938895008809</v>
      </c>
    </row>
    <row r="29" spans="1:23">
      <c r="A29" s="23">
        <v>44743</v>
      </c>
      <c r="B29" s="1">
        <v>90.68</v>
      </c>
      <c r="C29" s="1">
        <v>8.5259999999999998</v>
      </c>
      <c r="D29" s="4">
        <v>192.2</v>
      </c>
      <c r="E29" s="4">
        <v>18.506</v>
      </c>
      <c r="F29" s="3">
        <v>13484.05</v>
      </c>
      <c r="G29" s="5">
        <f t="shared" si="0"/>
        <v>4.3138157137927062E-2</v>
      </c>
      <c r="H29" s="5">
        <f t="shared" si="1"/>
        <v>2.5006011060351069E-2</v>
      </c>
      <c r="I29" s="5">
        <f t="shared" si="2"/>
        <v>0.10523289246693492</v>
      </c>
      <c r="J29" s="5">
        <f t="shared" si="3"/>
        <v>-2.3223899503853122E-2</v>
      </c>
      <c r="K29" s="21">
        <f t="shared" si="4"/>
        <v>5.4778832848212916E-2</v>
      </c>
    </row>
    <row r="30" spans="1:23">
      <c r="A30" s="23">
        <v>44774</v>
      </c>
      <c r="B30" s="1">
        <v>84.94</v>
      </c>
      <c r="C30" s="1">
        <v>8.3230000000000004</v>
      </c>
      <c r="D30" s="4">
        <v>184.2</v>
      </c>
      <c r="E30" s="4">
        <v>18.788</v>
      </c>
      <c r="F30" s="3">
        <v>12834.96</v>
      </c>
      <c r="G30" s="5">
        <f t="shared" si="0"/>
        <v>-6.3299514777238733E-2</v>
      </c>
      <c r="H30" s="5">
        <f t="shared" si="1"/>
        <v>-2.3809523809523739E-2</v>
      </c>
      <c r="I30" s="5">
        <f t="shared" si="2"/>
        <v>-4.1623309053069719E-2</v>
      </c>
      <c r="J30" s="5">
        <f t="shared" si="3"/>
        <v>1.5238301091537881E-2</v>
      </c>
      <c r="K30" s="21">
        <f t="shared" si="4"/>
        <v>-4.8137614440765211E-2</v>
      </c>
    </row>
    <row r="31" spans="1:23">
      <c r="A31" s="23">
        <v>44805</v>
      </c>
      <c r="B31" s="1">
        <v>84.12</v>
      </c>
      <c r="C31" s="1">
        <v>7.6459999999999999</v>
      </c>
      <c r="D31" s="4">
        <v>168.65</v>
      </c>
      <c r="E31" s="4">
        <v>17.492000000000001</v>
      </c>
      <c r="F31" s="3">
        <v>12114.36</v>
      </c>
      <c r="G31" s="5">
        <f t="shared" si="0"/>
        <v>-9.653873322345104E-3</v>
      </c>
      <c r="H31" s="5">
        <f t="shared" si="1"/>
        <v>-8.1340862669710495E-2</v>
      </c>
      <c r="I31" s="5">
        <f t="shared" si="2"/>
        <v>-8.441910966340925E-2</v>
      </c>
      <c r="J31" s="5">
        <f t="shared" si="3"/>
        <v>-6.8980200127741073E-2</v>
      </c>
      <c r="K31" s="21">
        <f t="shared" si="4"/>
        <v>-5.6143532975560392E-2</v>
      </c>
    </row>
    <row r="32" spans="1:23">
      <c r="A32" s="23">
        <v>44835</v>
      </c>
      <c r="B32" s="1">
        <v>97.67</v>
      </c>
      <c r="C32" s="1">
        <v>9.66</v>
      </c>
      <c r="D32" s="4">
        <v>173</v>
      </c>
      <c r="E32" s="4">
        <v>19.164000000000001</v>
      </c>
      <c r="F32" s="3">
        <v>13253.74</v>
      </c>
      <c r="G32" s="5">
        <f t="shared" si="0"/>
        <v>0.16107941036614357</v>
      </c>
      <c r="H32" s="5">
        <f t="shared" si="1"/>
        <v>0.26340570232801469</v>
      </c>
      <c r="I32" s="5">
        <f t="shared" si="2"/>
        <v>2.5793062555588463E-2</v>
      </c>
      <c r="J32" s="5">
        <f t="shared" si="3"/>
        <v>9.5586553853190065E-2</v>
      </c>
      <c r="K32" s="21">
        <f t="shared" si="4"/>
        <v>9.4052017605552346E-2</v>
      </c>
    </row>
    <row r="33" spans="1:15">
      <c r="A33" s="23">
        <v>44866</v>
      </c>
      <c r="B33" s="1">
        <v>104.46</v>
      </c>
      <c r="C33" s="1">
        <v>10.122</v>
      </c>
      <c r="D33" s="4">
        <v>183.05</v>
      </c>
      <c r="E33" s="4">
        <v>19.405999999999999</v>
      </c>
      <c r="F33" s="3">
        <v>14397.04</v>
      </c>
      <c r="G33" s="5">
        <f t="shared" si="0"/>
        <v>6.9519811610525159E-2</v>
      </c>
      <c r="H33" s="5">
        <f t="shared" si="1"/>
        <v>4.7826086956521713E-2</v>
      </c>
      <c r="I33" s="5">
        <f t="shared" si="2"/>
        <v>5.8092485549133016E-2</v>
      </c>
      <c r="J33" s="5">
        <f t="shared" si="3"/>
        <v>1.2627843873930145E-2</v>
      </c>
      <c r="K33" s="21">
        <f t="shared" si="4"/>
        <v>8.6262443657413007E-2</v>
      </c>
    </row>
    <row r="34" spans="1:15">
      <c r="A34" s="23">
        <v>44896</v>
      </c>
      <c r="B34" s="1">
        <v>96.39</v>
      </c>
      <c r="C34" s="1">
        <v>10.587999999999999</v>
      </c>
      <c r="D34" s="4">
        <v>147.65</v>
      </c>
      <c r="E34" s="4">
        <v>18.638000000000002</v>
      </c>
      <c r="F34" s="3">
        <v>13923.59</v>
      </c>
      <c r="G34" s="5">
        <f t="shared" si="0"/>
        <v>-7.7254451464675411E-2</v>
      </c>
      <c r="H34" s="5">
        <f t="shared" si="1"/>
        <v>4.6038332345386221E-2</v>
      </c>
      <c r="I34" s="5">
        <f t="shared" si="2"/>
        <v>-0.19338978421196396</v>
      </c>
      <c r="J34" s="5">
        <f t="shared" si="3"/>
        <v>-3.9575389054931319E-2</v>
      </c>
      <c r="K34" s="21">
        <f t="shared" si="4"/>
        <v>-3.2885231964348276E-2</v>
      </c>
    </row>
    <row r="35" spans="1:15">
      <c r="A35" s="23">
        <v>44927</v>
      </c>
      <c r="B35" s="1">
        <v>108.38</v>
      </c>
      <c r="C35" s="1">
        <v>12.208</v>
      </c>
      <c r="D35" s="4">
        <v>160.55000000000001</v>
      </c>
      <c r="E35" s="4">
        <v>20.45</v>
      </c>
      <c r="F35" s="3">
        <v>15128.27</v>
      </c>
      <c r="G35" s="5">
        <f t="shared" si="0"/>
        <v>0.1243904969395165</v>
      </c>
      <c r="H35" s="5">
        <f t="shared" si="1"/>
        <v>0.15300340007555735</v>
      </c>
      <c r="I35" s="5">
        <f t="shared" si="2"/>
        <v>8.7368777514392176E-2</v>
      </c>
      <c r="J35" s="5">
        <f t="shared" si="3"/>
        <v>9.7220731838179919E-2</v>
      </c>
      <c r="K35" s="21">
        <f t="shared" si="4"/>
        <v>8.652078953775573E-2</v>
      </c>
    </row>
    <row r="36" spans="1:15">
      <c r="A36" s="23">
        <v>44958</v>
      </c>
      <c r="B36" s="1">
        <v>107.48</v>
      </c>
      <c r="C36" s="1">
        <v>11.8</v>
      </c>
      <c r="D36" s="4">
        <v>168.8</v>
      </c>
      <c r="E36" s="4">
        <v>21.234999999999999</v>
      </c>
      <c r="F36" s="3">
        <v>15365.14</v>
      </c>
      <c r="G36" s="5">
        <f t="shared" si="0"/>
        <v>-8.3041151503966733E-3</v>
      </c>
      <c r="H36" s="5">
        <f t="shared" si="1"/>
        <v>-3.3420707732634294E-2</v>
      </c>
      <c r="I36" s="5">
        <f t="shared" si="2"/>
        <v>5.1385861102460288E-2</v>
      </c>
      <c r="J36" s="5">
        <f t="shared" si="3"/>
        <v>3.8386308068459669E-2</v>
      </c>
      <c r="K36" s="21">
        <f t="shared" si="4"/>
        <v>1.5657441333344724E-2</v>
      </c>
      <c r="M36" s="8" t="s">
        <v>30</v>
      </c>
      <c r="N36" s="8" t="s">
        <v>31</v>
      </c>
      <c r="O36" s="8" t="s">
        <v>32</v>
      </c>
    </row>
    <row r="37" spans="1:15">
      <c r="A37" s="23">
        <v>44986</v>
      </c>
      <c r="B37" s="1">
        <v>116.06</v>
      </c>
      <c r="C37" s="1">
        <v>9.3559999999999999</v>
      </c>
      <c r="D37" s="4">
        <v>158</v>
      </c>
      <c r="E37" s="4">
        <v>22.35</v>
      </c>
      <c r="F37" s="3">
        <v>15628.84</v>
      </c>
      <c r="G37" s="5">
        <f t="shared" si="0"/>
        <v>7.982880535913657E-2</v>
      </c>
      <c r="H37" s="5">
        <f t="shared" si="1"/>
        <v>-0.20711864406779668</v>
      </c>
      <c r="I37" s="5">
        <f t="shared" si="2"/>
        <v>-6.39810426540285E-2</v>
      </c>
      <c r="J37" s="5">
        <f t="shared" si="3"/>
        <v>5.2507652460560487E-2</v>
      </c>
      <c r="K37" s="21">
        <f t="shared" si="4"/>
        <v>1.7162225661464896E-2</v>
      </c>
      <c r="M37" s="2" t="s">
        <v>33</v>
      </c>
      <c r="N37" s="10">
        <v>0</v>
      </c>
      <c r="O37" s="11">
        <f>$N$4</f>
        <v>2.4E-2</v>
      </c>
    </row>
    <row r="38" spans="1:15">
      <c r="A38" s="23">
        <v>45017</v>
      </c>
      <c r="B38" s="1">
        <v>122.86</v>
      </c>
      <c r="C38" s="1">
        <v>9.9429999999999996</v>
      </c>
      <c r="D38" s="4">
        <v>151.94999999999999</v>
      </c>
      <c r="E38" s="4">
        <v>21.88</v>
      </c>
      <c r="F38" s="3">
        <v>15922.38</v>
      </c>
      <c r="G38" s="5">
        <f t="shared" si="0"/>
        <v>5.8590384283991014E-2</v>
      </c>
      <c r="H38" s="5">
        <f t="shared" si="1"/>
        <v>6.274048738777252E-2</v>
      </c>
      <c r="I38" s="5">
        <f t="shared" si="2"/>
        <v>-3.8291139240506401E-2</v>
      </c>
      <c r="J38" s="5">
        <f t="shared" si="3"/>
        <v>-2.1029082774049322E-2</v>
      </c>
      <c r="K38" s="21">
        <f t="shared" si="4"/>
        <v>1.8781944149405781E-2</v>
      </c>
      <c r="M38" s="2" t="s">
        <v>34</v>
      </c>
      <c r="N38" s="10">
        <v>2</v>
      </c>
      <c r="O38" s="11">
        <f>$N$4+2*($N$5-$N$4)</f>
        <v>9.8627794084210629E-4</v>
      </c>
    </row>
    <row r="39" spans="1:15">
      <c r="A39" s="23">
        <v>45047</v>
      </c>
      <c r="B39" s="1">
        <v>122.18</v>
      </c>
      <c r="C39" s="1">
        <v>9.4760000000000009</v>
      </c>
      <c r="D39" s="4">
        <v>140.4</v>
      </c>
      <c r="E39" s="4">
        <v>20.745000000000001</v>
      </c>
      <c r="F39" s="3">
        <v>15664.02</v>
      </c>
      <c r="G39" s="5">
        <f t="shared" si="0"/>
        <v>-5.5347550056974821E-3</v>
      </c>
      <c r="H39" s="5">
        <f t="shared" si="1"/>
        <v>-4.6967715981092104E-2</v>
      </c>
      <c r="I39" s="5">
        <f t="shared" si="2"/>
        <v>-7.601184600197422E-2</v>
      </c>
      <c r="J39" s="5">
        <f t="shared" si="3"/>
        <v>-5.1873857404021846E-2</v>
      </c>
      <c r="K39" s="21">
        <f t="shared" si="4"/>
        <v>-1.6226217437342833E-2</v>
      </c>
      <c r="M39" s="2" t="s">
        <v>2</v>
      </c>
      <c r="N39" s="10">
        <v>1.1399999999999999</v>
      </c>
      <c r="O39" s="11">
        <v>1.0844138E-2</v>
      </c>
    </row>
    <row r="40" spans="1:15">
      <c r="A40" s="23">
        <v>45078</v>
      </c>
      <c r="B40" s="1">
        <v>125.14</v>
      </c>
      <c r="C40" s="1">
        <v>9.6180000000000003</v>
      </c>
      <c r="D40" s="4">
        <v>152.9</v>
      </c>
      <c r="E40" s="4">
        <v>19.975999999999999</v>
      </c>
      <c r="F40" s="3">
        <v>16147.9</v>
      </c>
      <c r="G40" s="5">
        <f t="shared" si="0"/>
        <v>2.4226550990342065E-2</v>
      </c>
      <c r="H40" s="5">
        <f t="shared" si="1"/>
        <v>1.4985225833685041E-2</v>
      </c>
      <c r="I40" s="5">
        <f t="shared" si="2"/>
        <v>8.903133903133903E-2</v>
      </c>
      <c r="J40" s="5">
        <f t="shared" si="3"/>
        <v>-3.7069173294769914E-2</v>
      </c>
      <c r="K40" s="21">
        <f t="shared" si="4"/>
        <v>3.0891176083789423E-2</v>
      </c>
      <c r="M40" s="2" t="s">
        <v>3</v>
      </c>
      <c r="N40" s="10">
        <v>1.01</v>
      </c>
      <c r="O40" s="11">
        <v>1.2408209999999999E-2</v>
      </c>
    </row>
    <row r="41" spans="1:15">
      <c r="A41" s="23">
        <v>45108</v>
      </c>
      <c r="B41" s="1">
        <v>124.4</v>
      </c>
      <c r="C41" s="1">
        <v>10.08</v>
      </c>
      <c r="D41" s="4">
        <v>145.44999999999999</v>
      </c>
      <c r="E41" s="4">
        <v>19.841999999999999</v>
      </c>
      <c r="F41" s="3">
        <v>16446.830000000002</v>
      </c>
      <c r="G41" s="5">
        <f t="shared" si="0"/>
        <v>-5.9133770177400898E-3</v>
      </c>
      <c r="H41" s="5">
        <f t="shared" si="1"/>
        <v>4.8034934497816567E-2</v>
      </c>
      <c r="I41" s="5">
        <f t="shared" si="2"/>
        <v>-4.8724656638325814E-2</v>
      </c>
      <c r="J41" s="5">
        <f t="shared" si="3"/>
        <v>-6.708049659591527E-3</v>
      </c>
      <c r="K41" s="21">
        <f t="shared" si="4"/>
        <v>1.8512004656952429E-2</v>
      </c>
      <c r="M41" s="2" t="s">
        <v>4</v>
      </c>
      <c r="N41" s="10">
        <v>1.58</v>
      </c>
      <c r="O41" s="11">
        <v>5.8648370000000003E-3</v>
      </c>
    </row>
    <row r="42" spans="1:15">
      <c r="A42" s="23">
        <v>45139</v>
      </c>
      <c r="B42" s="1">
        <v>128.82</v>
      </c>
      <c r="C42" s="1">
        <v>10.052</v>
      </c>
      <c r="D42" s="4">
        <v>131.9</v>
      </c>
      <c r="E42" s="4">
        <v>19.742000000000001</v>
      </c>
      <c r="F42" s="3">
        <v>15947.08</v>
      </c>
      <c r="G42" s="5">
        <f t="shared" si="0"/>
        <v>3.553054662379411E-2</v>
      </c>
      <c r="H42" s="5">
        <f t="shared" si="1"/>
        <v>-2.7777777777778243E-3</v>
      </c>
      <c r="I42" s="5">
        <f t="shared" si="2"/>
        <v>-9.3159161223788131E-2</v>
      </c>
      <c r="J42" s="5">
        <f t="shared" si="3"/>
        <v>-5.0398145348250116E-3</v>
      </c>
      <c r="K42" s="21">
        <f t="shared" si="4"/>
        <v>-3.0385794709375715E-2</v>
      </c>
      <c r="M42" s="2" t="s">
        <v>5</v>
      </c>
      <c r="N42" s="10">
        <v>0.7</v>
      </c>
      <c r="O42" s="11">
        <v>1.5936972000000001E-2</v>
      </c>
    </row>
    <row r="43" spans="1:15">
      <c r="A43" s="23">
        <v>45170</v>
      </c>
      <c r="B43" s="1">
        <v>122.82</v>
      </c>
      <c r="C43" s="1">
        <v>10.45</v>
      </c>
      <c r="D43" s="4">
        <v>124.7</v>
      </c>
      <c r="E43" s="4">
        <v>19.867999999999999</v>
      </c>
      <c r="F43" s="3">
        <v>15386.58</v>
      </c>
      <c r="G43" s="5">
        <f t="shared" si="0"/>
        <v>-4.6576618537494181E-2</v>
      </c>
      <c r="H43" s="5">
        <f t="shared" si="1"/>
        <v>3.9594110624751266E-2</v>
      </c>
      <c r="I43" s="5">
        <f t="shared" si="2"/>
        <v>-5.4586808188021245E-2</v>
      </c>
      <c r="J43" s="5">
        <f t="shared" si="3"/>
        <v>6.3823320838819605E-3</v>
      </c>
      <c r="K43" s="21">
        <f t="shared" si="4"/>
        <v>-3.5147500357432207E-2</v>
      </c>
    </row>
    <row r="44" spans="1:15">
      <c r="A44" s="23">
        <v>45200</v>
      </c>
      <c r="B44" s="1">
        <v>126.74</v>
      </c>
      <c r="C44" s="1">
        <v>10.356</v>
      </c>
      <c r="D44" s="4">
        <v>108.8</v>
      </c>
      <c r="E44" s="4">
        <v>20.475000000000001</v>
      </c>
      <c r="F44" s="3">
        <v>14810.34</v>
      </c>
      <c r="G44" s="5">
        <f t="shared" si="0"/>
        <v>3.1916625956684597E-2</v>
      </c>
      <c r="H44" s="5">
        <f t="shared" si="1"/>
        <v>-8.9952153110047298E-3</v>
      </c>
      <c r="I44" s="5">
        <f t="shared" si="2"/>
        <v>-0.12750601443464318</v>
      </c>
      <c r="J44" s="5">
        <f t="shared" si="3"/>
        <v>3.0551640829474678E-2</v>
      </c>
      <c r="K44" s="21">
        <f t="shared" si="4"/>
        <v>-3.7450817530601331E-2</v>
      </c>
    </row>
    <row r="45" spans="1:15">
      <c r="A45" s="23">
        <v>45231</v>
      </c>
      <c r="B45" s="1">
        <v>145.47999999999999</v>
      </c>
      <c r="C45" s="1">
        <v>11.426</v>
      </c>
      <c r="D45" s="4">
        <v>119</v>
      </c>
      <c r="E45" s="4">
        <v>21.975000000000001</v>
      </c>
      <c r="F45" s="3">
        <v>16215.43</v>
      </c>
      <c r="G45" s="5">
        <f t="shared" si="0"/>
        <v>0.14786176424175473</v>
      </c>
      <c r="H45" s="5">
        <f t="shared" si="1"/>
        <v>0.10332174584781773</v>
      </c>
      <c r="I45" s="5">
        <f t="shared" si="2"/>
        <v>9.3750000000000028E-2</v>
      </c>
      <c r="J45" s="5">
        <f t="shared" si="3"/>
        <v>7.326007326007325E-2</v>
      </c>
      <c r="K45" s="21">
        <f t="shared" si="4"/>
        <v>9.4872231157421105E-2</v>
      </c>
    </row>
    <row r="46" spans="1:15">
      <c r="A46" s="23">
        <v>45261</v>
      </c>
      <c r="B46" s="1">
        <v>139.6</v>
      </c>
      <c r="C46" s="1">
        <v>12.333</v>
      </c>
      <c r="D46" s="4">
        <v>118.45</v>
      </c>
      <c r="E46" s="4">
        <v>21.75</v>
      </c>
      <c r="F46" s="3">
        <v>16751.64</v>
      </c>
      <c r="G46" s="5">
        <f t="shared" si="0"/>
        <v>-4.0417926862798985E-2</v>
      </c>
      <c r="H46" s="5">
        <f t="shared" si="1"/>
        <v>7.9380360581130752E-2</v>
      </c>
      <c r="I46" s="5">
        <f t="shared" si="2"/>
        <v>-4.6218487394957741E-3</v>
      </c>
      <c r="J46" s="5">
        <f t="shared" si="3"/>
        <v>-1.0238907849829415E-2</v>
      </c>
      <c r="K46" s="21">
        <f t="shared" si="4"/>
        <v>3.3067886574700708E-2</v>
      </c>
    </row>
    <row r="47" spans="1:15">
      <c r="A47" s="23">
        <v>45292</v>
      </c>
      <c r="B47" s="1">
        <v>160.80000000000001</v>
      </c>
      <c r="C47" s="1">
        <v>12.034000000000001</v>
      </c>
      <c r="D47" s="4">
        <v>131.6</v>
      </c>
      <c r="E47" s="4">
        <v>22.745000000000001</v>
      </c>
      <c r="F47" s="3">
        <v>16903.759999999998</v>
      </c>
      <c r="G47" s="5">
        <f t="shared" si="0"/>
        <v>0.15186246418338123</v>
      </c>
      <c r="H47" s="5">
        <f t="shared" si="1"/>
        <v>-2.4243898483742761E-2</v>
      </c>
      <c r="I47" s="5">
        <f t="shared" si="2"/>
        <v>0.11101730688054023</v>
      </c>
      <c r="J47" s="5">
        <f t="shared" si="3"/>
        <v>4.5747126436781652E-2</v>
      </c>
      <c r="K47" s="21">
        <f t="shared" si="4"/>
        <v>9.0809019296020557E-3</v>
      </c>
    </row>
    <row r="48" spans="1:15">
      <c r="A48" s="23">
        <v>45323</v>
      </c>
      <c r="B48" s="1">
        <v>172.88</v>
      </c>
      <c r="C48" s="1">
        <v>12.362</v>
      </c>
      <c r="D48" s="4">
        <v>145.25</v>
      </c>
      <c r="E48" s="4">
        <v>21.984999999999999</v>
      </c>
      <c r="F48" s="3">
        <v>17678.189999999999</v>
      </c>
      <c r="G48" s="5">
        <f t="shared" si="0"/>
        <v>7.5124378109452633E-2</v>
      </c>
      <c r="H48" s="5">
        <f t="shared" si="1"/>
        <v>2.7256107694864501E-2</v>
      </c>
      <c r="I48" s="5">
        <f t="shared" si="2"/>
        <v>0.1037234042553192</v>
      </c>
      <c r="J48" s="5">
        <f t="shared" si="3"/>
        <v>-3.3413937129039416E-2</v>
      </c>
      <c r="K48" s="21">
        <f t="shared" si="4"/>
        <v>4.5814067402755385E-2</v>
      </c>
    </row>
    <row r="49" spans="1:11">
      <c r="A49" s="23">
        <v>45352</v>
      </c>
      <c r="B49" s="1">
        <v>180.46</v>
      </c>
      <c r="C49" s="1">
        <v>14.582000000000001</v>
      </c>
      <c r="D49" s="4">
        <v>141.6</v>
      </c>
      <c r="E49" s="4">
        <v>22.5</v>
      </c>
      <c r="F49" s="3">
        <v>18492.490000000002</v>
      </c>
      <c r="G49" s="5">
        <f t="shared" si="0"/>
        <v>4.3845441925034777E-2</v>
      </c>
      <c r="H49" s="5">
        <f t="shared" si="1"/>
        <v>0.17958259181362243</v>
      </c>
      <c r="I49" s="5">
        <f t="shared" si="2"/>
        <v>-2.5129087779690227E-2</v>
      </c>
      <c r="J49" s="5">
        <f t="shared" si="3"/>
        <v>2.3425062542642736E-2</v>
      </c>
      <c r="K49" s="21">
        <f t="shared" si="4"/>
        <v>4.6062407972762086E-2</v>
      </c>
    </row>
    <row r="50" spans="1:11">
      <c r="A50" s="23">
        <v>45383</v>
      </c>
      <c r="B50" s="1">
        <v>169.7</v>
      </c>
      <c r="C50" s="1">
        <v>15.01</v>
      </c>
      <c r="D50" s="4">
        <v>132.80000000000001</v>
      </c>
      <c r="E50" s="4">
        <v>21.49</v>
      </c>
      <c r="F50" s="3">
        <v>17932.169999999998</v>
      </c>
      <c r="G50" s="5">
        <f t="shared" si="0"/>
        <v>-5.9625401751080678E-2</v>
      </c>
      <c r="H50" s="5">
        <f t="shared" si="1"/>
        <v>2.9351254971883078E-2</v>
      </c>
      <c r="I50" s="5">
        <f t="shared" si="2"/>
        <v>-6.2146892655367117E-2</v>
      </c>
      <c r="J50" s="5">
        <f t="shared" si="3"/>
        <v>-4.4888888888888957E-2</v>
      </c>
      <c r="K50" s="21">
        <f t="shared" si="4"/>
        <v>-3.0299867676013521E-2</v>
      </c>
    </row>
    <row r="51" spans="1:11">
      <c r="A51" s="23">
        <v>45413</v>
      </c>
      <c r="B51" s="1">
        <v>165.96</v>
      </c>
      <c r="C51" s="1">
        <v>15.226000000000001</v>
      </c>
      <c r="D51" s="4">
        <v>131.1</v>
      </c>
      <c r="E51" s="4">
        <v>22.29</v>
      </c>
      <c r="F51" s="3">
        <v>18497.939999999999</v>
      </c>
      <c r="G51" s="5">
        <f t="shared" si="0"/>
        <v>-2.203889216263984E-2</v>
      </c>
      <c r="H51" s="5">
        <f t="shared" si="1"/>
        <v>1.4390406395736247E-2</v>
      </c>
      <c r="I51" s="5">
        <f t="shared" si="2"/>
        <v>-1.2801204819277236E-2</v>
      </c>
      <c r="J51" s="5">
        <f t="shared" si="3"/>
        <v>3.7226617031177328E-2</v>
      </c>
      <c r="K51" s="21">
        <f t="shared" si="4"/>
        <v>3.1550559692441041E-2</v>
      </c>
    </row>
    <row r="52" spans="1:11">
      <c r="A52" s="23">
        <v>45444</v>
      </c>
      <c r="B52" s="1">
        <v>189.52</v>
      </c>
      <c r="C52" s="1">
        <v>14.907999999999999</v>
      </c>
      <c r="D52" s="4">
        <v>112.1</v>
      </c>
      <c r="E52" s="4">
        <v>23.48</v>
      </c>
      <c r="F52" s="3">
        <v>18235.45</v>
      </c>
      <c r="G52" s="5">
        <f t="shared" si="0"/>
        <v>0.14196191853458665</v>
      </c>
      <c r="H52" s="5">
        <f t="shared" si="1"/>
        <v>-2.0885327728884892E-2</v>
      </c>
      <c r="I52" s="5">
        <f t="shared" si="2"/>
        <v>-0.14492753623188406</v>
      </c>
      <c r="J52" s="5">
        <f t="shared" si="3"/>
        <v>5.3387169134140933E-2</v>
      </c>
      <c r="K52" s="21">
        <f t="shared" si="4"/>
        <v>-1.4190228749795815E-2</v>
      </c>
    </row>
    <row r="53" spans="1:11">
      <c r="A53" s="23">
        <v>45474</v>
      </c>
      <c r="B53" s="1">
        <v>195.02</v>
      </c>
      <c r="C53" s="1">
        <v>14.436</v>
      </c>
      <c r="D53" s="4">
        <v>109.1</v>
      </c>
      <c r="E53" s="4">
        <v>24.17</v>
      </c>
      <c r="F53" s="3">
        <v>18508.650000000001</v>
      </c>
      <c r="G53" s="5">
        <f t="shared" si="0"/>
        <v>2.9020683832840861E-2</v>
      </c>
      <c r="H53" s="5">
        <f t="shared" si="1"/>
        <v>-3.1660853233163373E-2</v>
      </c>
      <c r="I53" s="5">
        <f t="shared" si="2"/>
        <v>-2.6761819803746655E-2</v>
      </c>
      <c r="J53" s="5">
        <f t="shared" si="3"/>
        <v>2.9386712095400395E-2</v>
      </c>
      <c r="K53" s="21">
        <f t="shared" si="4"/>
        <v>1.4981807413581827E-2</v>
      </c>
    </row>
    <row r="54" spans="1:11">
      <c r="A54" s="23">
        <v>45505</v>
      </c>
      <c r="B54" s="1">
        <v>197.72</v>
      </c>
      <c r="C54" s="1">
        <v>14.747999999999999</v>
      </c>
      <c r="D54" s="4">
        <v>101</v>
      </c>
      <c r="E54" s="4">
        <v>25.71</v>
      </c>
      <c r="F54" s="3">
        <v>18906.919999999998</v>
      </c>
      <c r="G54" s="5">
        <f t="shared" si="0"/>
        <v>1.3844733873448818E-2</v>
      </c>
      <c r="H54" s="5">
        <f t="shared" si="1"/>
        <v>2.1612635078969201E-2</v>
      </c>
      <c r="I54" s="5">
        <f t="shared" si="2"/>
        <v>-7.4243813015581986E-2</v>
      </c>
      <c r="J54" s="5">
        <f t="shared" si="3"/>
        <v>6.371534960695073E-2</v>
      </c>
      <c r="K54" s="21">
        <f t="shared" si="4"/>
        <v>2.1518046967228661E-2</v>
      </c>
    </row>
    <row r="55" spans="1:11">
      <c r="A55" s="23">
        <v>45536</v>
      </c>
      <c r="B55" s="1">
        <v>204.4</v>
      </c>
      <c r="C55" s="1">
        <v>15.497999999999999</v>
      </c>
      <c r="D55" s="4">
        <v>100.3</v>
      </c>
      <c r="E55" s="4">
        <v>26.39</v>
      </c>
      <c r="F55" s="3">
        <v>19324.93</v>
      </c>
      <c r="G55" s="5">
        <f t="shared" si="0"/>
        <v>3.3785150718187371E-2</v>
      </c>
      <c r="H55" s="5">
        <f t="shared" si="1"/>
        <v>5.0854353132628156E-2</v>
      </c>
      <c r="I55" s="5">
        <f t="shared" si="2"/>
        <v>-6.9306930693069585E-3</v>
      </c>
      <c r="J55" s="5">
        <f t="shared" si="3"/>
        <v>2.6448852586542188E-2</v>
      </c>
      <c r="K55" s="21">
        <f t="shared" si="4"/>
        <v>2.2108836341403152E-2</v>
      </c>
    </row>
    <row r="56" spans="1:11">
      <c r="A56" s="23">
        <v>45566</v>
      </c>
      <c r="B56" s="1">
        <v>214.8</v>
      </c>
      <c r="C56" s="1">
        <v>15.624000000000001</v>
      </c>
      <c r="D56" s="4">
        <v>91.5</v>
      </c>
      <c r="E56" s="4">
        <v>27.82</v>
      </c>
      <c r="F56" s="3">
        <v>19077.54</v>
      </c>
      <c r="G56" s="5">
        <f t="shared" si="0"/>
        <v>5.0880626223092001E-2</v>
      </c>
      <c r="H56" s="5">
        <f t="shared" si="1"/>
        <v>8.1300813008130871E-3</v>
      </c>
      <c r="I56" s="5">
        <f t="shared" si="2"/>
        <v>-8.7736789631106649E-2</v>
      </c>
      <c r="J56" s="5">
        <f t="shared" si="3"/>
        <v>5.418719211822659E-2</v>
      </c>
      <c r="K56" s="21">
        <f t="shared" si="4"/>
        <v>-1.2801598763876475E-2</v>
      </c>
    </row>
    <row r="57" spans="1:11">
      <c r="A57" s="23">
        <v>45597</v>
      </c>
      <c r="B57" s="1">
        <v>224.9</v>
      </c>
      <c r="C57" s="1">
        <v>16.074000000000002</v>
      </c>
      <c r="D57" s="4">
        <v>83.4</v>
      </c>
      <c r="E57" s="4">
        <v>30.28</v>
      </c>
      <c r="F57" s="3">
        <v>19626.45</v>
      </c>
      <c r="G57" s="5">
        <f t="shared" si="0"/>
        <v>4.7020484171322131E-2</v>
      </c>
      <c r="H57" s="5">
        <f t="shared" si="1"/>
        <v>2.8801843317972416E-2</v>
      </c>
      <c r="I57" s="5">
        <f t="shared" si="2"/>
        <v>-8.8524590163934366E-2</v>
      </c>
      <c r="J57" s="5">
        <f t="shared" si="3"/>
        <v>8.8425593098490324E-2</v>
      </c>
      <c r="K57" s="21">
        <f t="shared" si="4"/>
        <v>2.8772577596482555E-2</v>
      </c>
    </row>
    <row r="58" spans="1:11">
      <c r="A58" s="23">
        <v>45627</v>
      </c>
      <c r="B58" s="1">
        <v>236.3</v>
      </c>
      <c r="C58" s="1">
        <v>16.64</v>
      </c>
      <c r="D58" s="4">
        <v>92.15</v>
      </c>
      <c r="E58" s="4">
        <v>28.89</v>
      </c>
      <c r="F58" s="3">
        <v>19909.14</v>
      </c>
      <c r="G58" s="5">
        <f t="shared" si="0"/>
        <v>5.0689195197865744E-2</v>
      </c>
      <c r="H58" s="5">
        <f t="shared" si="1"/>
        <v>3.5212143834764148E-2</v>
      </c>
      <c r="I58" s="5">
        <f t="shared" si="2"/>
        <v>0.10491606714628296</v>
      </c>
      <c r="J58" s="5">
        <f t="shared" si="3"/>
        <v>-4.590488771466316E-2</v>
      </c>
      <c r="K58" s="21">
        <f t="shared" si="4"/>
        <v>1.4403521778008691E-2</v>
      </c>
    </row>
    <row r="59" spans="1:11">
      <c r="A59" s="23">
        <v>45658</v>
      </c>
      <c r="B59" s="1">
        <v>268.5</v>
      </c>
      <c r="C59" s="1">
        <v>18.940000000000001</v>
      </c>
      <c r="D59" s="4">
        <v>101.4</v>
      </c>
      <c r="E59" s="4">
        <v>32.35</v>
      </c>
      <c r="F59" s="3">
        <v>21732.05</v>
      </c>
      <c r="G59" s="5">
        <f t="shared" si="0"/>
        <v>0.13626745662293688</v>
      </c>
      <c r="H59" s="5">
        <f t="shared" si="1"/>
        <v>0.13822115384615388</v>
      </c>
      <c r="I59" s="5">
        <f t="shared" si="2"/>
        <v>0.10037981551817687</v>
      </c>
      <c r="J59" s="5">
        <f t="shared" si="3"/>
        <v>0.11976462443752166</v>
      </c>
      <c r="K59" s="21">
        <f t="shared" si="4"/>
        <v>9.1561463729724138E-2</v>
      </c>
    </row>
    <row r="60" spans="1:11">
      <c r="A60" s="23">
        <v>45689</v>
      </c>
      <c r="B60" s="1">
        <v>265.3</v>
      </c>
      <c r="C60" s="1">
        <v>20.725000000000001</v>
      </c>
      <c r="D60" s="4">
        <v>107.1</v>
      </c>
      <c r="E60" s="4">
        <v>34.75</v>
      </c>
      <c r="F60" s="3">
        <v>22551.43</v>
      </c>
      <c r="G60" s="5">
        <f t="shared" si="0"/>
        <v>-1.1918063314711317E-2</v>
      </c>
      <c r="H60" s="5">
        <f t="shared" si="1"/>
        <v>9.4244984160506862E-2</v>
      </c>
      <c r="I60" s="5">
        <f t="shared" si="2"/>
        <v>5.6213017751479175E-2</v>
      </c>
      <c r="J60" s="5">
        <f t="shared" si="3"/>
        <v>7.4188562596599644E-2</v>
      </c>
      <c r="K60" s="21">
        <f t="shared" si="4"/>
        <v>3.7703760114669395E-2</v>
      </c>
    </row>
    <row r="61" spans="1:11">
      <c r="A61" s="23">
        <v>45717</v>
      </c>
      <c r="B61" s="1">
        <v>244.4</v>
      </c>
      <c r="C61" s="1">
        <v>21.82</v>
      </c>
      <c r="D61" s="4">
        <v>95.8</v>
      </c>
      <c r="E61" s="4">
        <v>34.22</v>
      </c>
      <c r="F61" s="3">
        <v>22163.49</v>
      </c>
      <c r="G61" s="5">
        <f t="shared" si="0"/>
        <v>-7.877874104787036E-2</v>
      </c>
      <c r="H61" s="5">
        <f t="shared" si="1"/>
        <v>5.2834740651387158E-2</v>
      </c>
      <c r="I61" s="5">
        <f t="shared" si="2"/>
        <v>-0.10550887021475255</v>
      </c>
      <c r="J61" s="5">
        <f t="shared" si="3"/>
        <v>-1.5251798561151112E-2</v>
      </c>
      <c r="K61" s="21">
        <f t="shared" si="4"/>
        <v>-1.7202456784336899E-2</v>
      </c>
    </row>
    <row r="62" spans="1:11">
      <c r="A62" s="23">
        <v>45748</v>
      </c>
      <c r="B62" s="1">
        <v>255.3</v>
      </c>
      <c r="C62" s="1">
        <v>22.98</v>
      </c>
      <c r="D62" s="4">
        <v>97.85</v>
      </c>
      <c r="E62" s="4">
        <v>31.6</v>
      </c>
      <c r="F62" s="3">
        <v>22496.98</v>
      </c>
      <c r="G62" s="5">
        <f t="shared" si="0"/>
        <v>4.4599018003273344E-2</v>
      </c>
      <c r="H62" s="5">
        <f t="shared" si="1"/>
        <v>5.3162236480293314E-2</v>
      </c>
      <c r="I62" s="5">
        <f t="shared" si="2"/>
        <v>2.1398747390396631E-2</v>
      </c>
      <c r="J62" s="5">
        <f t="shared" si="3"/>
        <v>-7.6563413208649844E-2</v>
      </c>
      <c r="K62" s="21">
        <f t="shared" si="4"/>
        <v>1.5046817987600235E-2</v>
      </c>
    </row>
    <row r="63" spans="1:11">
      <c r="A63" s="24">
        <v>45778</v>
      </c>
      <c r="B63" s="17">
        <v>265.89999999999998</v>
      </c>
      <c r="C63" s="17">
        <v>24.36</v>
      </c>
      <c r="D63" s="18">
        <v>97</v>
      </c>
      <c r="E63" s="18">
        <v>33.28</v>
      </c>
      <c r="F63" s="19">
        <v>23997.48</v>
      </c>
      <c r="G63" s="20">
        <f t="shared" si="0"/>
        <v>4.1519780650215297E-2</v>
      </c>
      <c r="H63" s="20">
        <f t="shared" si="1"/>
        <v>6.0052219321148778E-2</v>
      </c>
      <c r="I63" s="20">
        <f t="shared" si="2"/>
        <v>-8.6867654573325945E-3</v>
      </c>
      <c r="J63" s="20">
        <f t="shared" si="3"/>
        <v>5.3164556962025308E-2</v>
      </c>
      <c r="K63" s="22">
        <f t="shared" si="4"/>
        <v>6.6697841221355039E-2</v>
      </c>
    </row>
    <row r="125" spans="1:10">
      <c r="A125" s="1"/>
      <c r="B125" s="1"/>
      <c r="C125" s="4"/>
      <c r="D125" s="4"/>
      <c r="E125" s="3"/>
      <c r="F125" s="5"/>
      <c r="G125" s="5"/>
      <c r="H125" s="5"/>
      <c r="I125" s="5"/>
      <c r="J125" s="5"/>
    </row>
    <row r="126" spans="1:10">
      <c r="A126" s="1"/>
      <c r="B126" s="1"/>
      <c r="C126" s="4"/>
      <c r="D126" s="4"/>
      <c r="E126" s="3"/>
      <c r="F126" s="5"/>
      <c r="G126" s="5"/>
      <c r="H126" s="5"/>
      <c r="I126" s="5"/>
      <c r="J126" s="5"/>
    </row>
    <row r="127" spans="1:10">
      <c r="A127" s="1"/>
      <c r="B127" s="1"/>
      <c r="C127" s="4"/>
      <c r="D127" s="4"/>
      <c r="E127" s="3"/>
      <c r="F127" s="5"/>
      <c r="G127" s="5"/>
      <c r="H127" s="5"/>
      <c r="I127" s="5"/>
      <c r="J127" s="5"/>
    </row>
    <row r="128" spans="1:10">
      <c r="A128" s="1"/>
      <c r="B128" s="1"/>
      <c r="C128" s="4"/>
      <c r="D128" s="4"/>
      <c r="E128" s="3"/>
      <c r="F128" s="5"/>
      <c r="G128" s="5"/>
      <c r="H128" s="5"/>
      <c r="I128" s="5"/>
      <c r="J128" s="5"/>
    </row>
  </sheetData>
  <sortState xmlns:xlrd2="http://schemas.microsoft.com/office/spreadsheetml/2017/richdata2" ref="A4:A63">
    <sortCondition ref="A4:A63"/>
  </sortState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pranavipujari48@gmail.com</dc:creator>
  <cp:keywords/>
  <dc:description/>
  <cp:lastModifiedBy/>
  <cp:revision/>
  <dcterms:created xsi:type="dcterms:W3CDTF">2026-05-08T07:23:58Z</dcterms:created>
  <dcterms:modified xsi:type="dcterms:W3CDTF">2026-05-12T23:27:23Z</dcterms:modified>
  <cp:category/>
  <cp:contentStatus/>
</cp:coreProperties>
</file>